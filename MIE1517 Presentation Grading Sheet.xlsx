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alicezh/Desktop/Ph.D./课程/MIE1517 - Intro to Deep Learning/"/>
    </mc:Choice>
  </mc:AlternateContent>
  <xr:revisionPtr revIDLastSave="0" documentId="13_ncr:1_{378572ED-E33A-3641-B920-8F965D94DF44}" xr6:coauthVersionLast="47" xr6:coauthVersionMax="47" xr10:uidLastSave="{00000000-0000-0000-0000-000000000000}"/>
  <bookViews>
    <workbookView xWindow="8380" yWindow="2280" windowWidth="27840" windowHeight="17680" xr2:uid="{00000000-000D-0000-FFFF-FFFF00000000}"/>
  </bookViews>
  <sheets>
    <sheet name="Monday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8" l="1"/>
  <c r="B9" i="8" l="1"/>
  <c r="B10" i="8" s="1"/>
  <c r="B11" i="8" s="1"/>
  <c r="B12" i="8" s="1"/>
  <c r="B13" i="8" s="1"/>
  <c r="B14" i="8" s="1"/>
  <c r="B15" i="8" l="1"/>
  <c r="B16" i="8" s="1"/>
  <c r="B17" i="8" s="1"/>
  <c r="B18" i="8" s="1"/>
  <c r="B19" i="8" s="1"/>
  <c r="B20" i="8" l="1"/>
  <c r="B21" i="8" s="1"/>
  <c r="B22" i="8" s="1"/>
  <c r="B23" i="8" s="1"/>
  <c r="I9" i="8"/>
  <c r="I10" i="8"/>
  <c r="I11" i="8"/>
  <c r="I12" i="8"/>
  <c r="I14" i="8"/>
  <c r="I15" i="8"/>
  <c r="I16" i="8"/>
  <c r="I17" i="8"/>
  <c r="I18" i="8"/>
  <c r="I20" i="8"/>
  <c r="I21" i="8"/>
  <c r="I22" i="8"/>
  <c r="I23" i="8"/>
  <c r="B24" i="8" l="1"/>
  <c r="B25" i="8" s="1"/>
  <c r="I8" i="8"/>
</calcChain>
</file>

<file path=xl/sharedStrings.xml><?xml version="1.0" encoding="utf-8"?>
<sst xmlns="http://schemas.openxmlformats.org/spreadsheetml/2006/main" count="23" uniqueCount="16">
  <si>
    <t>Comments</t>
  </si>
  <si>
    <t>Team</t>
  </si>
  <si>
    <t>(10)Pts</t>
  </si>
  <si>
    <t>Time</t>
  </si>
  <si>
    <t>MIE1517 Presentations Grading</t>
  </si>
  <si>
    <t>End</t>
  </si>
  <si>
    <t>Grading Notes</t>
  </si>
  <si>
    <t>(100)Pts</t>
  </si>
  <si>
    <t>Break</t>
  </si>
  <si>
    <t>Closing
Remarks</t>
  </si>
  <si>
    <t>Monday 9am - 11:30am</t>
  </si>
  <si>
    <t>My team</t>
    <phoneticPr fontId="7" type="noConversion"/>
  </si>
  <si>
    <t>This presentation has complete structure and aticulated each section.</t>
    <phoneticPr fontId="7" type="noConversion"/>
  </si>
  <si>
    <t>For the discussion part, would expect the model by tail and body posture</t>
    <phoneticPr fontId="7" type="noConversion"/>
  </si>
  <si>
    <t>Very good discussion with risk analysis from multiple perspectives that could enhance the model accuracy</t>
    <phoneticPr fontId="7" type="noConversion"/>
  </si>
  <si>
    <t xml:space="preserve">A novel topic, video rxtraction is hard,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</si>
</sst>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9"/>
      <color rgb="FF2D3B45"/>
      <name val="Lato"/>
      <family val="2"/>
    </font>
    <font>
      <sz val="9"/>
      <color theme="1"/>
      <name val="Lato"/>
      <family val="2"/>
    </font>
    <font>
      <b/>
      <sz val="14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1" fillId="0" borderId="0" xfId="0" applyFont="1"/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1" fillId="0" borderId="6" xfId="0" applyFont="1" applyBorder="1" applyAlignment="1">
      <alignment horizontal="left" indent="1"/>
    </xf>
    <xf numFmtId="2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5102</xdr:colOff>
      <xdr:row>1</xdr:row>
      <xdr:rowOff>26862</xdr:rowOff>
    </xdr:from>
    <xdr:ext cx="436786" cy="762709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DBA5DD9-FD94-46FB-927D-8707FE22E292}"/>
            </a:ext>
          </a:extLst>
        </xdr:cNvPr>
        <xdr:cNvSpPr txBox="1"/>
      </xdr:nvSpPr>
      <xdr:spPr>
        <a:xfrm rot="16200000">
          <a:off x="1890015" y="427949"/>
          <a:ext cx="76270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1100" b="1"/>
            <a:t>Demo on</a:t>
          </a:r>
        </a:p>
        <a:p>
          <a:pPr algn="l"/>
          <a:r>
            <a:rPr lang="en-US" sz="1100" b="1"/>
            <a:t>New</a:t>
          </a:r>
          <a:r>
            <a:rPr lang="en-US" sz="1100" b="1" baseline="0"/>
            <a:t> Data</a:t>
          </a:r>
          <a:endParaRPr lang="en-US" sz="1100" b="1"/>
        </a:p>
      </xdr:txBody>
    </xdr:sp>
    <xdr:clientData/>
  </xdr:oneCellAnchor>
  <xdr:oneCellAnchor>
    <xdr:from>
      <xdr:col>2</xdr:col>
      <xdr:colOff>117334</xdr:colOff>
      <xdr:row>1</xdr:row>
      <xdr:rowOff>105646</xdr:rowOff>
    </xdr:from>
    <xdr:ext cx="264560" cy="681918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283ED5-289A-4261-A3FD-FEFDC3A651E3}"/>
            </a:ext>
          </a:extLst>
        </xdr:cNvPr>
        <xdr:cNvSpPr txBox="1"/>
      </xdr:nvSpPr>
      <xdr:spPr>
        <a:xfrm rot="16200000">
          <a:off x="1508855" y="552450"/>
          <a:ext cx="6819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Problem</a:t>
          </a:r>
        </a:p>
      </xdr:txBody>
    </xdr:sp>
    <xdr:clientData/>
  </xdr:oneCellAnchor>
  <xdr:oneCellAnchor>
    <xdr:from>
      <xdr:col>4</xdr:col>
      <xdr:colOff>98283</xdr:colOff>
      <xdr:row>1</xdr:row>
      <xdr:rowOff>181191</xdr:rowOff>
    </xdr:from>
    <xdr:ext cx="264560" cy="60702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8F04142-538F-4CD5-A6BF-D89934C3846F}"/>
            </a:ext>
          </a:extLst>
        </xdr:cNvPr>
        <xdr:cNvSpPr txBox="1"/>
      </xdr:nvSpPr>
      <xdr:spPr>
        <a:xfrm rot="16200000">
          <a:off x="2419425" y="590549"/>
          <a:ext cx="6070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Results</a:t>
          </a:r>
        </a:p>
      </xdr:txBody>
    </xdr:sp>
    <xdr:clientData/>
  </xdr:oneCellAnchor>
  <xdr:oneCellAnchor>
    <xdr:from>
      <xdr:col>8</xdr:col>
      <xdr:colOff>164963</xdr:colOff>
      <xdr:row>2</xdr:row>
      <xdr:rowOff>109589</xdr:rowOff>
    </xdr:from>
    <xdr:ext cx="264560" cy="48353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11FD3E6-B57F-4A4A-9B64-315B6F20B02A}"/>
            </a:ext>
          </a:extLst>
        </xdr:cNvPr>
        <xdr:cNvSpPr txBox="1"/>
      </xdr:nvSpPr>
      <xdr:spPr>
        <a:xfrm rot="16200000">
          <a:off x="4325853" y="647699"/>
          <a:ext cx="4835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Total</a:t>
          </a:r>
        </a:p>
      </xdr:txBody>
    </xdr:sp>
    <xdr:clientData/>
  </xdr:oneCellAnchor>
  <xdr:oneCellAnchor>
    <xdr:from>
      <xdr:col>6</xdr:col>
      <xdr:colOff>86592</xdr:colOff>
      <xdr:row>0</xdr:row>
      <xdr:rowOff>235371</xdr:rowOff>
    </xdr:from>
    <xdr:ext cx="264560" cy="79810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C22DBB7-9373-4AAA-82CC-158D3A5E9738}"/>
            </a:ext>
          </a:extLst>
        </xdr:cNvPr>
        <xdr:cNvSpPr txBox="1"/>
      </xdr:nvSpPr>
      <xdr:spPr>
        <a:xfrm rot="16200000">
          <a:off x="3210720" y="502143"/>
          <a:ext cx="79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Discussion</a:t>
          </a:r>
        </a:p>
      </xdr:txBody>
    </xdr:sp>
    <xdr:clientData/>
  </xdr:oneCellAnchor>
  <xdr:oneCellAnchor>
    <xdr:from>
      <xdr:col>7</xdr:col>
      <xdr:colOff>86594</xdr:colOff>
      <xdr:row>1</xdr:row>
      <xdr:rowOff>37034</xdr:rowOff>
    </xdr:from>
    <xdr:ext cx="264560" cy="787139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242C553-48A9-450C-9DBF-9A0DE42DA478}"/>
            </a:ext>
          </a:extLst>
        </xdr:cNvPr>
        <xdr:cNvSpPr txBox="1"/>
      </xdr:nvSpPr>
      <xdr:spPr>
        <a:xfrm rot="16200000">
          <a:off x="3651179" y="536449"/>
          <a:ext cx="787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Pres. Flow</a:t>
          </a:r>
        </a:p>
      </xdr:txBody>
    </xdr:sp>
    <xdr:clientData/>
  </xdr:oneCellAnchor>
  <xdr:oneCellAnchor>
    <xdr:from>
      <xdr:col>5</xdr:col>
      <xdr:colOff>7936</xdr:colOff>
      <xdr:row>0</xdr:row>
      <xdr:rowOff>186911</xdr:rowOff>
    </xdr:from>
    <xdr:ext cx="436786" cy="84356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89B6487-D3C1-4CFE-983D-945416AAB456}"/>
            </a:ext>
          </a:extLst>
        </xdr:cNvPr>
        <xdr:cNvSpPr txBox="1"/>
      </xdr:nvSpPr>
      <xdr:spPr>
        <a:xfrm rot="16200000">
          <a:off x="2741422" y="390300"/>
          <a:ext cx="84356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End-to-End</a:t>
          </a:r>
        </a:p>
        <a:p>
          <a:pPr algn="l"/>
          <a:r>
            <a:rPr lang="en-US" sz="1100" b="1"/>
            <a:t>Pipeline</a:t>
          </a:r>
        </a:p>
      </xdr:txBody>
    </xdr:sp>
    <xdr:clientData/>
  </xdr:oneCellAnchor>
  <xdr:oneCellAnchor>
    <xdr:from>
      <xdr:col>9</xdr:col>
      <xdr:colOff>2555876</xdr:colOff>
      <xdr:row>1</xdr:row>
      <xdr:rowOff>158750</xdr:rowOff>
    </xdr:from>
    <xdr:ext cx="208679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CCAFB92-AB77-4446-8A0C-80EB5B31DF73}"/>
            </a:ext>
          </a:extLst>
        </xdr:cNvPr>
        <xdr:cNvSpPr txBox="1"/>
      </xdr:nvSpPr>
      <xdr:spPr>
        <a:xfrm>
          <a:off x="7366001" y="396875"/>
          <a:ext cx="20867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Each</a:t>
          </a:r>
          <a:r>
            <a:rPr lang="en-US" sz="1100" b="1" baseline="0"/>
            <a:t> category graded 0 to 10 pts</a:t>
          </a:r>
        </a:p>
      </xdr:txBody>
    </xdr:sp>
    <xdr:clientData/>
  </xdr:oneCellAnchor>
  <xdr:oneCellAnchor>
    <xdr:from>
      <xdr:col>3</xdr:col>
      <xdr:colOff>71437</xdr:colOff>
      <xdr:row>4</xdr:row>
      <xdr:rowOff>174625</xdr:rowOff>
    </xdr:from>
    <xdr:ext cx="317266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732B3E7-8675-4370-88D0-9BB4172B8513}"/>
            </a:ext>
          </a:extLst>
        </xdr:cNvPr>
        <xdr:cNvSpPr txBox="1"/>
      </xdr:nvSpPr>
      <xdr:spPr>
        <a:xfrm>
          <a:off x="2119312" y="984250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x3</a:t>
          </a:r>
        </a:p>
      </xdr:txBody>
    </xdr:sp>
    <xdr:clientData/>
  </xdr:oneCellAnchor>
  <xdr:oneCellAnchor>
    <xdr:from>
      <xdr:col>6</xdr:col>
      <xdr:colOff>88900</xdr:colOff>
      <xdr:row>4</xdr:row>
      <xdr:rowOff>184151</xdr:rowOff>
    </xdr:from>
    <xdr:ext cx="317266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6FBA0F0-3CBE-4D65-8DF0-BBC23571F9EC}"/>
            </a:ext>
          </a:extLst>
        </xdr:cNvPr>
        <xdr:cNvSpPr txBox="1"/>
      </xdr:nvSpPr>
      <xdr:spPr>
        <a:xfrm>
          <a:off x="3470275" y="993776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x2</a:t>
          </a:r>
        </a:p>
      </xdr:txBody>
    </xdr:sp>
    <xdr:clientData/>
  </xdr:oneCellAnchor>
  <xdr:oneCellAnchor>
    <xdr:from>
      <xdr:col>7</xdr:col>
      <xdr:colOff>66675</xdr:colOff>
      <xdr:row>4</xdr:row>
      <xdr:rowOff>185739</xdr:rowOff>
    </xdr:from>
    <xdr:ext cx="317266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F786A4C-2A86-4B88-8D6E-6B5DB85531B1}"/>
            </a:ext>
          </a:extLst>
        </xdr:cNvPr>
        <xdr:cNvSpPr txBox="1"/>
      </xdr:nvSpPr>
      <xdr:spPr>
        <a:xfrm>
          <a:off x="3892550" y="995364"/>
          <a:ext cx="3172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x2</a:t>
          </a:r>
        </a:p>
      </xdr:txBody>
    </xdr:sp>
    <xdr:clientData/>
  </xdr:oneCellAnchor>
  <xdr:oneCellAnchor>
    <xdr:from>
      <xdr:col>9</xdr:col>
      <xdr:colOff>32106</xdr:colOff>
      <xdr:row>1</xdr:row>
      <xdr:rowOff>21405</xdr:rowOff>
    </xdr:from>
    <xdr:ext cx="6795927" cy="75860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DFEACEC-4C88-4BA6-9BD9-825D860D3249}"/>
            </a:ext>
          </a:extLst>
        </xdr:cNvPr>
        <xdr:cNvSpPr txBox="1"/>
      </xdr:nvSpPr>
      <xdr:spPr>
        <a:xfrm>
          <a:off x="4880224" y="256854"/>
          <a:ext cx="6795927" cy="75860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10/10 Excellent</a:t>
          </a:r>
          <a:r>
            <a:rPr lang="en-US" sz="1050"/>
            <a:t> - exceeds expectations</a:t>
          </a:r>
        </a:p>
        <a:p>
          <a:r>
            <a:rPr lang="en-US" sz="105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8/10 Good</a:t>
          </a:r>
          <a:r>
            <a:rPr lang="en-US" sz="1050"/>
            <a:t> - above</a:t>
          </a:r>
          <a:r>
            <a:rPr lang="en-US" sz="1050" baseline="0"/>
            <a:t> average expecations</a:t>
          </a:r>
          <a:endParaRPr lang="en-US" sz="1050"/>
        </a:p>
        <a:p>
          <a:r>
            <a:rPr lang="en-US" sz="105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6/10 Fair</a:t>
          </a:r>
          <a:r>
            <a:rPr lang="en-US" sz="1050"/>
            <a:t> - average expectations</a:t>
          </a:r>
        </a:p>
        <a:p>
          <a:r>
            <a:rPr lang="en-US" sz="105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3/10 Poor</a:t>
          </a:r>
          <a:r>
            <a:rPr lang="en-US" sz="1050"/>
            <a:t> - below expectations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6"/>
  <sheetViews>
    <sheetView tabSelected="1" topLeftCell="A6" zoomScale="130" zoomScaleNormal="130" workbookViewId="0">
      <selection activeCell="J17" sqref="J17"/>
    </sheetView>
  </sheetViews>
  <sheetFormatPr baseColWidth="10" defaultColWidth="8.83203125" defaultRowHeight="14"/>
  <cols>
    <col min="1" max="1" width="9" bestFit="1" customWidth="1"/>
    <col min="2" max="2" width="7" bestFit="1" customWidth="1"/>
    <col min="3" max="8" width="6.83203125" bestFit="1" customWidth="1"/>
    <col min="9" max="9" width="7.83203125" bestFit="1" customWidth="1"/>
    <col min="10" max="10" width="41.6640625" customWidth="1"/>
    <col min="11" max="11" width="29.83203125" customWidth="1"/>
  </cols>
  <sheetData>
    <row r="1" spans="1:10" ht="17">
      <c r="A1" s="23" t="s">
        <v>10</v>
      </c>
      <c r="B1" s="23"/>
      <c r="C1" s="23"/>
      <c r="D1" s="23"/>
      <c r="E1" s="23"/>
      <c r="F1" s="23"/>
      <c r="G1" s="23"/>
      <c r="H1" s="23"/>
      <c r="I1" s="23"/>
      <c r="J1" s="13" t="s">
        <v>6</v>
      </c>
    </row>
    <row r="2" spans="1:10" ht="15" customHeight="1">
      <c r="A2" s="27" t="s">
        <v>4</v>
      </c>
      <c r="B2" s="28"/>
      <c r="C2" s="5"/>
      <c r="D2" s="2"/>
      <c r="E2" s="2"/>
      <c r="F2" s="2"/>
      <c r="G2" s="2"/>
      <c r="H2" s="2"/>
      <c r="I2" s="2"/>
      <c r="J2" s="15"/>
    </row>
    <row r="3" spans="1:10" ht="15" customHeight="1">
      <c r="A3" s="29"/>
      <c r="B3" s="30"/>
      <c r="C3" s="6"/>
      <c r="D3" s="3"/>
      <c r="E3" s="3"/>
      <c r="F3" s="3"/>
      <c r="G3" s="3"/>
      <c r="H3" s="3"/>
      <c r="I3" s="3"/>
      <c r="J3" s="16"/>
    </row>
    <row r="4" spans="1:10">
      <c r="A4" s="29"/>
      <c r="B4" s="30"/>
      <c r="C4" s="6"/>
      <c r="D4" s="3"/>
      <c r="E4" s="3"/>
      <c r="F4" s="3"/>
      <c r="G4" s="3"/>
      <c r="H4" s="3"/>
      <c r="I4" s="3"/>
      <c r="J4" s="16"/>
    </row>
    <row r="5" spans="1:10">
      <c r="A5" s="31"/>
      <c r="B5" s="32"/>
      <c r="C5" s="7"/>
      <c r="D5" s="4"/>
      <c r="E5" s="4"/>
      <c r="F5" s="4"/>
      <c r="G5" s="4"/>
      <c r="H5" s="4"/>
      <c r="I5" s="4"/>
      <c r="J5" s="17"/>
    </row>
    <row r="6" spans="1:10" s="1" customFormat="1" ht="23.25" customHeight="1">
      <c r="A6" s="24" t="s">
        <v>1</v>
      </c>
      <c r="B6" s="33" t="s">
        <v>3</v>
      </c>
      <c r="C6" s="26" t="s">
        <v>2</v>
      </c>
      <c r="D6" s="26" t="s">
        <v>2</v>
      </c>
      <c r="E6" s="26" t="s">
        <v>2</v>
      </c>
      <c r="F6" s="26" t="s">
        <v>2</v>
      </c>
      <c r="G6" s="26" t="s">
        <v>2</v>
      </c>
      <c r="H6" s="26" t="s">
        <v>2</v>
      </c>
      <c r="I6" s="21" t="s">
        <v>7</v>
      </c>
      <c r="J6" s="22" t="s">
        <v>0</v>
      </c>
    </row>
    <row r="7" spans="1:10" s="1" customFormat="1" ht="23.25" customHeight="1">
      <c r="A7" s="25"/>
      <c r="B7" s="34"/>
      <c r="C7" s="26"/>
      <c r="D7" s="26"/>
      <c r="E7" s="26"/>
      <c r="F7" s="26"/>
      <c r="G7" s="26"/>
      <c r="H7" s="26"/>
      <c r="I7" s="21"/>
      <c r="J7" s="22"/>
    </row>
    <row r="8" spans="1:10" ht="48.75" customHeight="1">
      <c r="A8" s="9">
        <v>1</v>
      </c>
      <c r="B8" s="18">
        <v>0.375</v>
      </c>
      <c r="C8" s="9"/>
      <c r="D8" s="9"/>
      <c r="E8" s="9"/>
      <c r="F8" s="9"/>
      <c r="G8" s="9"/>
      <c r="H8" s="9"/>
      <c r="I8" s="9">
        <f>C8+3*D8+E8+F8+2*G8+2*H8</f>
        <v>0</v>
      </c>
      <c r="J8" s="8" t="s">
        <v>11</v>
      </c>
    </row>
    <row r="9" spans="1:10" ht="48.75" customHeight="1">
      <c r="A9" s="9">
        <v>2</v>
      </c>
      <c r="B9" s="18">
        <f>B8+TIME(0,8,0)</f>
        <v>0.38055555555555554</v>
      </c>
      <c r="C9" s="9">
        <v>7</v>
      </c>
      <c r="D9" s="9">
        <v>10</v>
      </c>
      <c r="E9" s="9">
        <v>8</v>
      </c>
      <c r="F9" s="9">
        <v>6</v>
      </c>
      <c r="G9" s="9">
        <v>9</v>
      </c>
      <c r="H9" s="9">
        <v>8</v>
      </c>
      <c r="I9" s="9">
        <f t="shared" ref="I9:I23" si="0">C9+3*D9+E9+F9+2*G9+2*H9</f>
        <v>85</v>
      </c>
      <c r="J9" s="8"/>
    </row>
    <row r="10" spans="1:10" ht="48.75" customHeight="1">
      <c r="A10" s="9">
        <v>3</v>
      </c>
      <c r="B10" s="18">
        <f>B9+TIME(0,8,0)</f>
        <v>0.38611111111111107</v>
      </c>
      <c r="C10" s="9">
        <v>6</v>
      </c>
      <c r="D10" s="9">
        <v>8</v>
      </c>
      <c r="E10" s="9">
        <v>7</v>
      </c>
      <c r="F10" s="9">
        <v>8</v>
      </c>
      <c r="G10" s="9">
        <v>8</v>
      </c>
      <c r="H10" s="9">
        <v>8</v>
      </c>
      <c r="I10" s="9">
        <f t="shared" si="0"/>
        <v>77</v>
      </c>
      <c r="J10" s="8"/>
    </row>
    <row r="11" spans="1:10" ht="48.75" customHeight="1">
      <c r="A11" s="9">
        <v>4</v>
      </c>
      <c r="B11" s="18">
        <f>B10+TIME(0,8,0)</f>
        <v>0.39166666666666661</v>
      </c>
      <c r="C11" s="9">
        <v>9</v>
      </c>
      <c r="D11" s="9">
        <v>7</v>
      </c>
      <c r="E11" s="9">
        <v>8</v>
      </c>
      <c r="F11" s="9">
        <v>10</v>
      </c>
      <c r="G11" s="9">
        <v>10</v>
      </c>
      <c r="H11" s="9">
        <v>8</v>
      </c>
      <c r="I11" s="9">
        <f t="shared" si="0"/>
        <v>84</v>
      </c>
      <c r="J11" s="8"/>
    </row>
    <row r="12" spans="1:10" ht="48.75" customHeight="1">
      <c r="A12" s="9">
        <v>5</v>
      </c>
      <c r="B12" s="18">
        <f>B11+TIME(0,8,0)</f>
        <v>0.39722222222222214</v>
      </c>
      <c r="C12" s="9">
        <v>8</v>
      </c>
      <c r="D12" s="9">
        <v>10</v>
      </c>
      <c r="E12" s="9">
        <v>8</v>
      </c>
      <c r="F12" s="9">
        <v>8</v>
      </c>
      <c r="G12" s="9">
        <v>10</v>
      </c>
      <c r="H12" s="9">
        <v>10</v>
      </c>
      <c r="I12" s="9">
        <f t="shared" si="0"/>
        <v>94</v>
      </c>
      <c r="J12" s="8" t="s">
        <v>12</v>
      </c>
    </row>
    <row r="13" spans="1:10" ht="48.75" customHeight="1">
      <c r="A13" s="11" t="s">
        <v>8</v>
      </c>
      <c r="B13" s="20">
        <f t="shared" ref="B13:B24" si="1">B12+TIME(0,8,0)</f>
        <v>0.40277777777777768</v>
      </c>
      <c r="C13" s="11"/>
      <c r="D13" s="11"/>
      <c r="E13" s="11"/>
      <c r="F13" s="11"/>
      <c r="G13" s="11"/>
      <c r="H13" s="11"/>
      <c r="I13" s="11">
        <f>C13+3*D13+E13+F13+2*G13+2*H13</f>
        <v>0</v>
      </c>
      <c r="J13" s="12"/>
    </row>
    <row r="14" spans="1:10" ht="48.75" customHeight="1">
      <c r="A14" s="9">
        <v>7</v>
      </c>
      <c r="B14" s="18">
        <f>B13+TIME(0,10,0)</f>
        <v>0.4097222222222221</v>
      </c>
      <c r="C14" s="9">
        <v>10</v>
      </c>
      <c r="D14" s="9">
        <v>10</v>
      </c>
      <c r="E14" s="9">
        <v>10</v>
      </c>
      <c r="F14" s="9">
        <v>8</v>
      </c>
      <c r="G14" s="9">
        <v>8</v>
      </c>
      <c r="H14" s="9">
        <v>10</v>
      </c>
      <c r="I14" s="9">
        <f>C14+3*D14+E14+F14+2*G14+2*H14</f>
        <v>94</v>
      </c>
      <c r="J14" s="8" t="s">
        <v>13</v>
      </c>
    </row>
    <row r="15" spans="1:10" ht="48.75" customHeight="1">
      <c r="A15" s="9">
        <v>8</v>
      </c>
      <c r="B15" s="18">
        <f t="shared" si="1"/>
        <v>0.41527777777777763</v>
      </c>
      <c r="C15" s="9">
        <v>10</v>
      </c>
      <c r="D15" s="9">
        <v>10</v>
      </c>
      <c r="E15" s="9">
        <v>8</v>
      </c>
      <c r="F15" s="9">
        <v>10</v>
      </c>
      <c r="G15" s="9">
        <v>10</v>
      </c>
      <c r="H15" s="9">
        <v>8</v>
      </c>
      <c r="I15" s="9">
        <f t="shared" si="0"/>
        <v>94</v>
      </c>
      <c r="J15" s="35" t="s">
        <v>14</v>
      </c>
    </row>
    <row r="16" spans="1:10" ht="48.75" customHeight="1">
      <c r="A16" s="9">
        <v>9</v>
      </c>
      <c r="B16" s="18">
        <f t="shared" si="1"/>
        <v>0.42083333333333317</v>
      </c>
      <c r="C16" s="9">
        <v>10</v>
      </c>
      <c r="D16" s="9">
        <v>10</v>
      </c>
      <c r="E16" s="9">
        <v>8</v>
      </c>
      <c r="F16" s="9">
        <v>10</v>
      </c>
      <c r="G16" s="9">
        <v>8</v>
      </c>
      <c r="H16" s="9">
        <v>10</v>
      </c>
      <c r="I16" s="9">
        <f t="shared" si="0"/>
        <v>94</v>
      </c>
      <c r="J16" s="8" t="s">
        <v>15</v>
      </c>
    </row>
    <row r="17" spans="1:10" ht="48.75" customHeight="1">
      <c r="A17" s="10">
        <v>10</v>
      </c>
      <c r="B17" s="18">
        <f t="shared" si="1"/>
        <v>0.42638888888888871</v>
      </c>
      <c r="C17" s="9">
        <v>10</v>
      </c>
      <c r="D17" s="9">
        <v>10</v>
      </c>
      <c r="E17" s="9">
        <v>8</v>
      </c>
      <c r="F17" s="9">
        <v>6</v>
      </c>
      <c r="G17" s="9">
        <v>6</v>
      </c>
      <c r="H17" s="9">
        <v>8</v>
      </c>
      <c r="I17" s="9">
        <f t="shared" si="0"/>
        <v>82</v>
      </c>
      <c r="J17" s="8"/>
    </row>
    <row r="18" spans="1:10" ht="48.75" customHeight="1">
      <c r="A18" s="9">
        <v>11</v>
      </c>
      <c r="B18" s="18">
        <f t="shared" si="1"/>
        <v>0.43194444444444424</v>
      </c>
      <c r="C18" s="9">
        <v>10</v>
      </c>
      <c r="D18" s="9">
        <v>8</v>
      </c>
      <c r="E18" s="9">
        <v>9</v>
      </c>
      <c r="F18" s="9">
        <v>7</v>
      </c>
      <c r="G18" s="9">
        <v>10</v>
      </c>
      <c r="H18" s="9">
        <v>9</v>
      </c>
      <c r="I18" s="9">
        <f t="shared" si="0"/>
        <v>88</v>
      </c>
      <c r="J18" s="8"/>
    </row>
    <row r="19" spans="1:10" ht="48.75" customHeight="1">
      <c r="A19" s="11" t="s">
        <v>8</v>
      </c>
      <c r="B19" s="20">
        <f t="shared" si="1"/>
        <v>0.43749999999999978</v>
      </c>
      <c r="C19" s="11"/>
      <c r="D19" s="11"/>
      <c r="E19" s="11"/>
      <c r="F19" s="11"/>
      <c r="G19" s="11"/>
      <c r="H19" s="11"/>
      <c r="I19" s="11"/>
      <c r="J19" s="12"/>
    </row>
    <row r="20" spans="1:10" ht="48.75" customHeight="1">
      <c r="A20" s="9">
        <v>12</v>
      </c>
      <c r="B20" s="18">
        <f>B19+TIME(0,10,0)</f>
        <v>0.4444444444444442</v>
      </c>
      <c r="C20" s="9">
        <v>10</v>
      </c>
      <c r="D20" s="9">
        <v>8</v>
      </c>
      <c r="E20" s="9">
        <v>8</v>
      </c>
      <c r="F20" s="9">
        <v>9</v>
      </c>
      <c r="G20" s="9">
        <v>8</v>
      </c>
      <c r="H20" s="9">
        <v>8</v>
      </c>
      <c r="I20" s="9">
        <f t="shared" si="0"/>
        <v>83</v>
      </c>
      <c r="J20" s="8"/>
    </row>
    <row r="21" spans="1:10" ht="48.75" customHeight="1">
      <c r="A21" s="9">
        <v>13</v>
      </c>
      <c r="B21" s="18">
        <f t="shared" si="1"/>
        <v>0.44999999999999973</v>
      </c>
      <c r="C21" s="9">
        <v>10</v>
      </c>
      <c r="D21" s="9">
        <v>8</v>
      </c>
      <c r="E21" s="9">
        <v>8</v>
      </c>
      <c r="F21" s="9">
        <v>10</v>
      </c>
      <c r="G21" s="9">
        <v>7</v>
      </c>
      <c r="H21" s="9">
        <v>7</v>
      </c>
      <c r="I21" s="9">
        <f t="shared" si="0"/>
        <v>80</v>
      </c>
      <c r="J21" s="8"/>
    </row>
    <row r="22" spans="1:10" ht="48.75" customHeight="1">
      <c r="A22" s="14">
        <v>14</v>
      </c>
      <c r="B22" s="18">
        <f t="shared" si="1"/>
        <v>0.45555555555555527</v>
      </c>
      <c r="C22" s="9">
        <v>8</v>
      </c>
      <c r="D22" s="9">
        <v>8</v>
      </c>
      <c r="E22" s="9">
        <v>8</v>
      </c>
      <c r="F22" s="9">
        <v>8</v>
      </c>
      <c r="G22" s="9">
        <v>8</v>
      </c>
      <c r="H22" s="9">
        <v>8</v>
      </c>
      <c r="I22" s="9">
        <f t="shared" si="0"/>
        <v>80</v>
      </c>
      <c r="J22" s="8"/>
    </row>
    <row r="23" spans="1:10" ht="48.75" customHeight="1">
      <c r="A23" s="10">
        <v>20</v>
      </c>
      <c r="B23" s="18">
        <f t="shared" si="1"/>
        <v>0.46111111111111081</v>
      </c>
      <c r="C23" s="9">
        <v>8</v>
      </c>
      <c r="D23" s="9">
        <v>10</v>
      </c>
      <c r="E23" s="9">
        <v>8</v>
      </c>
      <c r="F23" s="9">
        <v>10</v>
      </c>
      <c r="G23" s="9">
        <v>10</v>
      </c>
      <c r="H23" s="9">
        <v>8</v>
      </c>
      <c r="I23" s="9">
        <f t="shared" si="0"/>
        <v>92</v>
      </c>
      <c r="J23" s="8"/>
    </row>
    <row r="24" spans="1:10" ht="48.75" customHeight="1">
      <c r="A24" s="11" t="s">
        <v>8</v>
      </c>
      <c r="B24" s="20">
        <f t="shared" si="1"/>
        <v>0.46666666666666634</v>
      </c>
      <c r="C24" s="11"/>
      <c r="D24" s="11"/>
      <c r="E24" s="11"/>
      <c r="F24" s="11"/>
      <c r="G24" s="11"/>
      <c r="H24" s="11"/>
      <c r="I24" s="11"/>
      <c r="J24" s="12"/>
    </row>
    <row r="25" spans="1:10" ht="48.75" customHeight="1">
      <c r="A25" s="19" t="s">
        <v>9</v>
      </c>
      <c r="B25" s="20">
        <f>B24+TIME(0,8,0)</f>
        <v>0.47222222222222188</v>
      </c>
      <c r="C25" s="11"/>
      <c r="D25" s="11"/>
      <c r="E25" s="11"/>
      <c r="F25" s="11"/>
      <c r="G25" s="11"/>
      <c r="H25" s="11"/>
      <c r="I25" s="11"/>
      <c r="J25" s="12"/>
    </row>
    <row r="26" spans="1:10" ht="43.5" customHeight="1">
      <c r="A26" s="11" t="s">
        <v>5</v>
      </c>
      <c r="B26" s="20">
        <v>0.47916666666666669</v>
      </c>
      <c r="C26" s="11"/>
      <c r="D26" s="11"/>
      <c r="E26" s="11"/>
      <c r="F26" s="11"/>
      <c r="G26" s="11"/>
      <c r="H26" s="11"/>
      <c r="I26" s="11"/>
      <c r="J26" s="12"/>
    </row>
  </sheetData>
  <mergeCells count="12">
    <mergeCell ref="I6:I7"/>
    <mergeCell ref="J6:J7"/>
    <mergeCell ref="A1:I1"/>
    <mergeCell ref="A6:A7"/>
    <mergeCell ref="C6:C7"/>
    <mergeCell ref="D6:D7"/>
    <mergeCell ref="E6:E7"/>
    <mergeCell ref="F6:F7"/>
    <mergeCell ref="G6:G7"/>
    <mergeCell ref="H6:H7"/>
    <mergeCell ref="A2:B5"/>
    <mergeCell ref="B6:B7"/>
  </mergeCells>
  <phoneticPr fontId="7" type="noConversion"/>
  <pageMargins left="0.7" right="0.7" top="0.75" bottom="0.75" header="0.3" footer="0.3"/>
  <pageSetup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Alice Zhang</cp:lastModifiedBy>
  <cp:lastPrinted>2023-12-04T19:13:58Z</cp:lastPrinted>
  <dcterms:created xsi:type="dcterms:W3CDTF">2019-11-22T09:21:34Z</dcterms:created>
  <dcterms:modified xsi:type="dcterms:W3CDTF">2025-12-01T16:44:20Z</dcterms:modified>
</cp:coreProperties>
</file>